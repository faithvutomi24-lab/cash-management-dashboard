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7682\Downloads\"/>
    </mc:Choice>
  </mc:AlternateContent>
  <xr:revisionPtr revIDLastSave="0" documentId="13_ncr:9_{671B664E-A0E7-4962-A429-1E0FA90A15E2}" xr6:coauthVersionLast="47" xr6:coauthVersionMax="47" xr10:uidLastSave="{00000000-0000-0000-0000-000000000000}"/>
  <bookViews>
    <workbookView xWindow="-108" yWindow="-108" windowWidth="23256" windowHeight="12456" activeTab="3" xr2:uid="{B4CB84D1-CD1E-4FF4-B4F2-A0AFD8530819}"/>
  </bookViews>
  <sheets>
    <sheet name="Transactions" sheetId="1" r:id="rId1"/>
    <sheet name="Latest Balances" sheetId="2" r:id="rId2"/>
    <sheet name="Monthly Summary" sheetId="3" r:id="rId3"/>
    <sheet name="Indicators" sheetId="4" r:id="rId4"/>
  </sheets>
  <calcPr calcId="0"/>
</workbook>
</file>

<file path=xl/calcChain.xml><?xml version="1.0" encoding="utf-8"?>
<calcChain xmlns="http://schemas.openxmlformats.org/spreadsheetml/2006/main">
  <c r="C2" i="4" l="1"/>
  <c r="B2" i="4"/>
  <c r="A2" i="4"/>
  <c r="B3" i="3"/>
  <c r="C3" i="3"/>
  <c r="D3" i="3"/>
  <c r="B4" i="3"/>
  <c r="D4" i="3" s="1"/>
  <c r="C4" i="3"/>
  <c r="D2" i="3"/>
  <c r="C2" i="3"/>
  <c r="B2" i="3"/>
</calcChain>
</file>

<file path=xl/sharedStrings.xml><?xml version="1.0" encoding="utf-8"?>
<sst xmlns="http://schemas.openxmlformats.org/spreadsheetml/2006/main" count="170" uniqueCount="27">
  <si>
    <t>Bank</t>
  </si>
  <si>
    <t>Account Name</t>
  </si>
  <si>
    <t>Date</t>
  </si>
  <si>
    <t>Transaction Type</t>
  </si>
  <si>
    <t>Amount</t>
  </si>
  <si>
    <t>Balance</t>
  </si>
  <si>
    <t>Month</t>
  </si>
  <si>
    <t>Bank A</t>
  </si>
  <si>
    <t>Store Sales</t>
  </si>
  <si>
    <t>Opening Balance</t>
  </si>
  <si>
    <t>2026-07 Jul</t>
  </si>
  <si>
    <t>Bank B</t>
  </si>
  <si>
    <t>Online Sales</t>
  </si>
  <si>
    <t>Bank C</t>
  </si>
  <si>
    <t>Operating Account</t>
  </si>
  <si>
    <t>Deposit</t>
  </si>
  <si>
    <t>Payment</t>
  </si>
  <si>
    <t>2026-08 Aug</t>
  </si>
  <si>
    <t>2026-09 Sep</t>
  </si>
  <si>
    <t>Account name</t>
  </si>
  <si>
    <t>Latest Balance</t>
  </si>
  <si>
    <t>Cash In</t>
  </si>
  <si>
    <t>Cash Out</t>
  </si>
  <si>
    <t>Net Cash Flow</t>
  </si>
  <si>
    <t>Total Latest Balance</t>
  </si>
  <si>
    <t>Average Monthly Cash Out</t>
  </si>
  <si>
    <t>Cash Runway(months)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</si>
</sst>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42CB-3E84-4319-B117-271755AD3AB6}">
  <dimension ref="A1:G37"/>
  <sheetViews>
    <sheetView workbookViewId="0">
      <selection activeCell="C4" sqref="C4"/>
    </sheetView>
  </sheetViews>
  <sheetFormatPr defaultRowHeight="14.4" x14ac:dyDescent="0.3"/>
  <cols>
    <col min="3" max="3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46204</v>
      </c>
      <c r="D2" t="s">
        <v>9</v>
      </c>
      <c r="E2">
        <v>50000</v>
      </c>
      <c r="F2">
        <v>50000</v>
      </c>
      <c r="G2" t="s">
        <v>10</v>
      </c>
    </row>
    <row r="3" spans="1:7" x14ac:dyDescent="0.3">
      <c r="A3" t="s">
        <v>11</v>
      </c>
      <c r="B3" t="s">
        <v>12</v>
      </c>
      <c r="C3" s="1">
        <v>46204</v>
      </c>
      <c r="D3" t="s">
        <v>9</v>
      </c>
      <c r="E3">
        <v>20000</v>
      </c>
      <c r="F3">
        <v>20000</v>
      </c>
      <c r="G3" t="s">
        <v>10</v>
      </c>
    </row>
    <row r="4" spans="1:7" x14ac:dyDescent="0.3">
      <c r="A4" t="s">
        <v>13</v>
      </c>
      <c r="B4" t="s">
        <v>14</v>
      </c>
      <c r="C4" s="1">
        <v>46204</v>
      </c>
      <c r="D4" t="s">
        <v>9</v>
      </c>
      <c r="E4">
        <v>30000</v>
      </c>
      <c r="F4">
        <v>30000</v>
      </c>
      <c r="G4" t="s">
        <v>10</v>
      </c>
    </row>
    <row r="5" spans="1:7" x14ac:dyDescent="0.3">
      <c r="A5" t="s">
        <v>7</v>
      </c>
      <c r="B5" t="s">
        <v>8</v>
      </c>
      <c r="C5" s="1">
        <v>46208</v>
      </c>
      <c r="D5" t="s">
        <v>15</v>
      </c>
      <c r="E5">
        <v>18000</v>
      </c>
      <c r="F5">
        <v>68000</v>
      </c>
      <c r="G5" t="s">
        <v>10</v>
      </c>
    </row>
    <row r="6" spans="1:7" x14ac:dyDescent="0.3">
      <c r="A6" t="s">
        <v>13</v>
      </c>
      <c r="B6" t="s">
        <v>14</v>
      </c>
      <c r="C6" s="1">
        <v>46210</v>
      </c>
      <c r="D6" t="s">
        <v>16</v>
      </c>
      <c r="E6">
        <v>14000</v>
      </c>
      <c r="F6">
        <v>16000</v>
      </c>
      <c r="G6" t="s">
        <v>10</v>
      </c>
    </row>
    <row r="7" spans="1:7" x14ac:dyDescent="0.3">
      <c r="A7" t="s">
        <v>11</v>
      </c>
      <c r="B7" t="s">
        <v>12</v>
      </c>
      <c r="C7" s="1">
        <v>46211</v>
      </c>
      <c r="D7" t="s">
        <v>15</v>
      </c>
      <c r="E7">
        <v>9000</v>
      </c>
      <c r="F7">
        <v>29000</v>
      </c>
      <c r="G7" t="s">
        <v>10</v>
      </c>
    </row>
    <row r="8" spans="1:7" x14ac:dyDescent="0.3">
      <c r="A8" t="s">
        <v>7</v>
      </c>
      <c r="B8" t="s">
        <v>8</v>
      </c>
      <c r="C8" s="1">
        <v>46215</v>
      </c>
      <c r="D8" t="s">
        <v>15</v>
      </c>
      <c r="E8">
        <v>22000</v>
      </c>
      <c r="F8">
        <v>90000</v>
      </c>
      <c r="G8" t="s">
        <v>10</v>
      </c>
    </row>
    <row r="9" spans="1:7" x14ac:dyDescent="0.3">
      <c r="A9" t="s">
        <v>13</v>
      </c>
      <c r="B9" t="s">
        <v>14</v>
      </c>
      <c r="C9" s="1">
        <v>46218</v>
      </c>
      <c r="D9" t="s">
        <v>15</v>
      </c>
      <c r="E9">
        <v>20000</v>
      </c>
      <c r="F9">
        <v>36000</v>
      </c>
      <c r="G9" t="s">
        <v>10</v>
      </c>
    </row>
    <row r="10" spans="1:7" x14ac:dyDescent="0.3">
      <c r="A10" t="s">
        <v>11</v>
      </c>
      <c r="B10" t="s">
        <v>12</v>
      </c>
      <c r="C10" s="1">
        <v>46220</v>
      </c>
      <c r="D10" t="s">
        <v>15</v>
      </c>
      <c r="E10">
        <v>11500</v>
      </c>
      <c r="F10">
        <v>40500</v>
      </c>
      <c r="G10" t="s">
        <v>10</v>
      </c>
    </row>
    <row r="11" spans="1:7" x14ac:dyDescent="0.3">
      <c r="A11" t="s">
        <v>7</v>
      </c>
      <c r="B11" t="s">
        <v>8</v>
      </c>
      <c r="C11" s="1">
        <v>46223</v>
      </c>
      <c r="D11" t="s">
        <v>16</v>
      </c>
      <c r="E11">
        <v>15000</v>
      </c>
      <c r="F11">
        <v>75000</v>
      </c>
      <c r="G11" t="s">
        <v>10</v>
      </c>
    </row>
    <row r="12" spans="1:7" x14ac:dyDescent="0.3">
      <c r="A12" t="s">
        <v>13</v>
      </c>
      <c r="B12" t="s">
        <v>14</v>
      </c>
      <c r="C12" s="1">
        <v>46225</v>
      </c>
      <c r="D12" t="s">
        <v>16</v>
      </c>
      <c r="E12">
        <v>12500</v>
      </c>
      <c r="F12">
        <v>23500</v>
      </c>
      <c r="G12" t="s">
        <v>10</v>
      </c>
    </row>
    <row r="13" spans="1:7" x14ac:dyDescent="0.3">
      <c r="A13" t="s">
        <v>11</v>
      </c>
      <c r="B13" t="s">
        <v>12</v>
      </c>
      <c r="C13" s="1">
        <v>46228</v>
      </c>
      <c r="D13" t="s">
        <v>16</v>
      </c>
      <c r="E13">
        <v>6000</v>
      </c>
      <c r="F13">
        <v>34500</v>
      </c>
      <c r="G13" t="s">
        <v>10</v>
      </c>
    </row>
    <row r="14" spans="1:7" x14ac:dyDescent="0.3">
      <c r="A14" t="s">
        <v>7</v>
      </c>
      <c r="B14" t="s">
        <v>8</v>
      </c>
      <c r="C14" s="1">
        <v>46231</v>
      </c>
      <c r="D14" t="s">
        <v>15</v>
      </c>
      <c r="E14">
        <v>20000</v>
      </c>
      <c r="F14">
        <v>95000</v>
      </c>
      <c r="G14" t="s">
        <v>10</v>
      </c>
    </row>
    <row r="15" spans="1:7" x14ac:dyDescent="0.3">
      <c r="A15" t="s">
        <v>13</v>
      </c>
      <c r="B15" t="s">
        <v>14</v>
      </c>
      <c r="C15" s="1">
        <v>46233</v>
      </c>
      <c r="D15" t="s">
        <v>16</v>
      </c>
      <c r="E15">
        <v>9000</v>
      </c>
      <c r="F15">
        <v>14500</v>
      </c>
      <c r="G15" t="s">
        <v>10</v>
      </c>
    </row>
    <row r="16" spans="1:7" x14ac:dyDescent="0.3">
      <c r="A16" t="s">
        <v>13</v>
      </c>
      <c r="B16" t="s">
        <v>14</v>
      </c>
      <c r="C16" s="1">
        <v>46237</v>
      </c>
      <c r="D16" t="s">
        <v>15</v>
      </c>
      <c r="E16">
        <v>22000</v>
      </c>
      <c r="F16">
        <v>36500</v>
      </c>
      <c r="G16" t="s">
        <v>17</v>
      </c>
    </row>
    <row r="17" spans="1:7" x14ac:dyDescent="0.3">
      <c r="A17" t="s">
        <v>7</v>
      </c>
      <c r="B17" t="s">
        <v>8</v>
      </c>
      <c r="C17" s="1">
        <v>46238</v>
      </c>
      <c r="D17" t="s">
        <v>15</v>
      </c>
      <c r="E17">
        <v>19500</v>
      </c>
      <c r="F17">
        <v>114500</v>
      </c>
      <c r="G17" t="s">
        <v>17</v>
      </c>
    </row>
    <row r="18" spans="1:7" x14ac:dyDescent="0.3">
      <c r="A18" t="s">
        <v>11</v>
      </c>
      <c r="B18" t="s">
        <v>12</v>
      </c>
      <c r="C18" s="1">
        <v>46240</v>
      </c>
      <c r="D18" t="s">
        <v>15</v>
      </c>
      <c r="E18">
        <v>10000</v>
      </c>
      <c r="F18">
        <v>44500</v>
      </c>
      <c r="G18" t="s">
        <v>17</v>
      </c>
    </row>
    <row r="19" spans="1:7" x14ac:dyDescent="0.3">
      <c r="A19" t="s">
        <v>7</v>
      </c>
      <c r="B19" t="s">
        <v>8</v>
      </c>
      <c r="C19" s="1">
        <v>46245</v>
      </c>
      <c r="D19" t="s">
        <v>15</v>
      </c>
      <c r="E19">
        <v>21000</v>
      </c>
      <c r="F19">
        <v>135500</v>
      </c>
      <c r="G19" t="s">
        <v>17</v>
      </c>
    </row>
    <row r="20" spans="1:7" x14ac:dyDescent="0.3">
      <c r="A20" t="s">
        <v>13</v>
      </c>
      <c r="B20" t="s">
        <v>14</v>
      </c>
      <c r="C20" s="1">
        <v>46246</v>
      </c>
      <c r="D20" t="s">
        <v>16</v>
      </c>
      <c r="E20">
        <v>15000</v>
      </c>
      <c r="F20">
        <v>21500</v>
      </c>
      <c r="G20" t="s">
        <v>17</v>
      </c>
    </row>
    <row r="21" spans="1:7" x14ac:dyDescent="0.3">
      <c r="A21" t="s">
        <v>11</v>
      </c>
      <c r="B21" t="s">
        <v>12</v>
      </c>
      <c r="C21" s="1">
        <v>46249</v>
      </c>
      <c r="D21" t="s">
        <v>15</v>
      </c>
      <c r="E21">
        <v>12500</v>
      </c>
      <c r="F21">
        <v>57000</v>
      </c>
      <c r="G21" t="s">
        <v>17</v>
      </c>
    </row>
    <row r="22" spans="1:7" x14ac:dyDescent="0.3">
      <c r="A22" t="s">
        <v>7</v>
      </c>
      <c r="B22" t="s">
        <v>8</v>
      </c>
      <c r="C22" s="1">
        <v>46252</v>
      </c>
      <c r="D22" t="s">
        <v>16</v>
      </c>
      <c r="E22">
        <v>16000</v>
      </c>
      <c r="F22">
        <v>119500</v>
      </c>
      <c r="G22" t="s">
        <v>17</v>
      </c>
    </row>
    <row r="23" spans="1:7" x14ac:dyDescent="0.3">
      <c r="A23" t="s">
        <v>13</v>
      </c>
      <c r="B23" t="s">
        <v>14</v>
      </c>
      <c r="C23" s="1">
        <v>46254</v>
      </c>
      <c r="D23" t="s">
        <v>16</v>
      </c>
      <c r="E23">
        <v>11000</v>
      </c>
      <c r="F23">
        <v>10500</v>
      </c>
      <c r="G23" t="s">
        <v>17</v>
      </c>
    </row>
    <row r="24" spans="1:7" x14ac:dyDescent="0.3">
      <c r="A24" t="s">
        <v>11</v>
      </c>
      <c r="B24" t="s">
        <v>12</v>
      </c>
      <c r="C24" s="1">
        <v>46258</v>
      </c>
      <c r="D24" t="s">
        <v>16</v>
      </c>
      <c r="E24">
        <v>6500</v>
      </c>
      <c r="F24">
        <v>50500</v>
      </c>
      <c r="G24" t="s">
        <v>17</v>
      </c>
    </row>
    <row r="25" spans="1:7" x14ac:dyDescent="0.3">
      <c r="A25" t="s">
        <v>7</v>
      </c>
      <c r="B25" t="s">
        <v>8</v>
      </c>
      <c r="C25" s="1">
        <v>46261</v>
      </c>
      <c r="D25" t="s">
        <v>15</v>
      </c>
      <c r="E25">
        <v>23000</v>
      </c>
      <c r="F25">
        <v>142500</v>
      </c>
      <c r="G25" t="s">
        <v>17</v>
      </c>
    </row>
    <row r="26" spans="1:7" x14ac:dyDescent="0.3">
      <c r="A26" t="s">
        <v>13</v>
      </c>
      <c r="B26" t="s">
        <v>14</v>
      </c>
      <c r="C26" s="1">
        <v>46263</v>
      </c>
      <c r="D26" t="s">
        <v>15</v>
      </c>
      <c r="E26">
        <v>25000</v>
      </c>
      <c r="F26">
        <v>35500</v>
      </c>
      <c r="G26" t="s">
        <v>17</v>
      </c>
    </row>
    <row r="27" spans="1:7" x14ac:dyDescent="0.3">
      <c r="A27" t="s">
        <v>13</v>
      </c>
      <c r="B27" t="s">
        <v>14</v>
      </c>
      <c r="C27" s="1">
        <v>46267</v>
      </c>
      <c r="D27" t="s">
        <v>16</v>
      </c>
      <c r="E27">
        <v>13500</v>
      </c>
      <c r="F27">
        <v>22000</v>
      </c>
      <c r="G27" t="s">
        <v>18</v>
      </c>
    </row>
    <row r="28" spans="1:7" x14ac:dyDescent="0.3">
      <c r="A28" t="s">
        <v>7</v>
      </c>
      <c r="B28" t="s">
        <v>8</v>
      </c>
      <c r="C28" s="1">
        <v>46268</v>
      </c>
      <c r="D28" t="s">
        <v>15</v>
      </c>
      <c r="E28">
        <v>20500</v>
      </c>
      <c r="F28">
        <v>163000</v>
      </c>
      <c r="G28" t="s">
        <v>18</v>
      </c>
    </row>
    <row r="29" spans="1:7" x14ac:dyDescent="0.3">
      <c r="A29" t="s">
        <v>11</v>
      </c>
      <c r="B29" t="s">
        <v>12</v>
      </c>
      <c r="C29" s="1">
        <v>46270</v>
      </c>
      <c r="D29" t="s">
        <v>15</v>
      </c>
      <c r="E29">
        <v>11000</v>
      </c>
      <c r="F29">
        <v>61500</v>
      </c>
      <c r="G29" t="s">
        <v>18</v>
      </c>
    </row>
    <row r="30" spans="1:7" x14ac:dyDescent="0.3">
      <c r="A30" t="s">
        <v>7</v>
      </c>
      <c r="B30" t="s">
        <v>8</v>
      </c>
      <c r="C30" s="1">
        <v>46275</v>
      </c>
      <c r="D30" t="s">
        <v>15</v>
      </c>
      <c r="E30">
        <v>24000</v>
      </c>
      <c r="F30">
        <v>187000</v>
      </c>
      <c r="G30" t="s">
        <v>18</v>
      </c>
    </row>
    <row r="31" spans="1:7" x14ac:dyDescent="0.3">
      <c r="A31" t="s">
        <v>13</v>
      </c>
      <c r="B31" t="s">
        <v>14</v>
      </c>
      <c r="C31" s="1">
        <v>46276</v>
      </c>
      <c r="D31" t="s">
        <v>15</v>
      </c>
      <c r="E31">
        <v>21000</v>
      </c>
      <c r="F31">
        <v>43000</v>
      </c>
      <c r="G31" t="s">
        <v>18</v>
      </c>
    </row>
    <row r="32" spans="1:7" x14ac:dyDescent="0.3">
      <c r="A32" t="s">
        <v>11</v>
      </c>
      <c r="B32" t="s">
        <v>12</v>
      </c>
      <c r="C32" s="1">
        <v>46279</v>
      </c>
      <c r="D32" t="s">
        <v>15</v>
      </c>
      <c r="E32">
        <v>13000</v>
      </c>
      <c r="F32">
        <v>74500</v>
      </c>
      <c r="G32" t="s">
        <v>18</v>
      </c>
    </row>
    <row r="33" spans="1:7" x14ac:dyDescent="0.3">
      <c r="A33" t="s">
        <v>13</v>
      </c>
      <c r="B33" t="s">
        <v>14</v>
      </c>
      <c r="C33" s="1">
        <v>46283</v>
      </c>
      <c r="D33" t="s">
        <v>16</v>
      </c>
      <c r="E33">
        <v>12000</v>
      </c>
      <c r="F33">
        <v>31000</v>
      </c>
      <c r="G33" t="s">
        <v>18</v>
      </c>
    </row>
    <row r="34" spans="1:7" x14ac:dyDescent="0.3">
      <c r="A34" t="s">
        <v>7</v>
      </c>
      <c r="B34" t="s">
        <v>8</v>
      </c>
      <c r="C34" s="1">
        <v>46284</v>
      </c>
      <c r="D34" t="s">
        <v>16</v>
      </c>
      <c r="E34">
        <v>17000</v>
      </c>
      <c r="F34">
        <v>170000</v>
      </c>
      <c r="G34" t="s">
        <v>18</v>
      </c>
    </row>
    <row r="35" spans="1:7" x14ac:dyDescent="0.3">
      <c r="A35" t="s">
        <v>11</v>
      </c>
      <c r="B35" t="s">
        <v>12</v>
      </c>
      <c r="C35" s="1">
        <v>46291</v>
      </c>
      <c r="D35" t="s">
        <v>16</v>
      </c>
      <c r="E35">
        <v>7000</v>
      </c>
      <c r="F35">
        <v>67500</v>
      </c>
      <c r="G35" t="s">
        <v>18</v>
      </c>
    </row>
    <row r="36" spans="1:7" x14ac:dyDescent="0.3">
      <c r="A36" t="s">
        <v>7</v>
      </c>
      <c r="B36" t="s">
        <v>8</v>
      </c>
      <c r="C36" s="1">
        <v>46294</v>
      </c>
      <c r="D36" t="s">
        <v>15</v>
      </c>
      <c r="E36">
        <v>22500</v>
      </c>
      <c r="F36">
        <v>192500</v>
      </c>
      <c r="G36" t="s">
        <v>18</v>
      </c>
    </row>
    <row r="37" spans="1:7" x14ac:dyDescent="0.3">
      <c r="A37" t="s">
        <v>13</v>
      </c>
      <c r="B37" t="s">
        <v>14</v>
      </c>
      <c r="C37" s="1">
        <v>46295</v>
      </c>
      <c r="D37" t="s">
        <v>16</v>
      </c>
      <c r="E37">
        <v>10500</v>
      </c>
      <c r="F37">
        <v>20500</v>
      </c>
      <c r="G3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AA2B-6DE5-464C-A60E-9AC62568B173}">
  <dimension ref="A1:C4"/>
  <sheetViews>
    <sheetView workbookViewId="0">
      <selection activeCell="C5" sqref="C5"/>
    </sheetView>
  </sheetViews>
  <sheetFormatPr defaultRowHeight="14.4" x14ac:dyDescent="0.3"/>
  <sheetData>
    <row r="1" spans="1:3" x14ac:dyDescent="0.3">
      <c r="A1" t="s">
        <v>19</v>
      </c>
      <c r="B1" t="s">
        <v>0</v>
      </c>
      <c r="C1" t="s">
        <v>20</v>
      </c>
    </row>
    <row r="2" spans="1:3" x14ac:dyDescent="0.3">
      <c r="A2" t="s">
        <v>8</v>
      </c>
      <c r="B2" t="s">
        <v>7</v>
      </c>
      <c r="C2">
        <v>192500</v>
      </c>
    </row>
    <row r="3" spans="1:3" x14ac:dyDescent="0.3">
      <c r="A3" t="s">
        <v>12</v>
      </c>
      <c r="B3" t="s">
        <v>11</v>
      </c>
      <c r="C3">
        <v>67500</v>
      </c>
    </row>
    <row r="4" spans="1:3" x14ac:dyDescent="0.3">
      <c r="A4" t="s">
        <v>14</v>
      </c>
      <c r="B4" t="s">
        <v>13</v>
      </c>
      <c r="C4">
        <v>20500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A885-FF27-4E98-A5FF-614192B7D60F}">
  <dimension ref="A1:D4"/>
  <sheetViews>
    <sheetView workbookViewId="0">
      <selection activeCell="B2" sqref="B2:D4"/>
    </sheetView>
  </sheetViews>
  <sheetFormatPr defaultRowHeight="14.4" x14ac:dyDescent="0.3"/>
  <sheetData>
    <row r="1" spans="1:4" x14ac:dyDescent="0.3">
      <c r="A1" t="s">
        <v>6</v>
      </c>
      <c r="B1" t="s">
        <v>21</v>
      </c>
      <c r="C1" t="s">
        <v>22</v>
      </c>
      <c r="D1" t="s">
        <v>23</v>
      </c>
    </row>
    <row r="2" spans="1:4" x14ac:dyDescent="0.3">
      <c r="A2" t="s">
        <v>10</v>
      </c>
      <c r="B2">
        <f>SUMIFS(Transactions!$E:$E,Transactions!$D:$D,"Deposit",Transactions!$G:$G,$A2)</f>
        <v>100500</v>
      </c>
      <c r="C2">
        <f>SUMIFS(Transactions!$E:$E,Transactions!$D:$D,"Payment",Transactions!$G:$G,$A2)</f>
        <v>56500</v>
      </c>
      <c r="D2">
        <f>B2-C2</f>
        <v>44000</v>
      </c>
    </row>
    <row r="3" spans="1:4" x14ac:dyDescent="0.3">
      <c r="A3" t="s">
        <v>17</v>
      </c>
      <c r="B3">
        <f>SUMIFS(Transactions!$E:$E,Transactions!$D:$D,"Deposit",Transactions!$G:$G,$A3)</f>
        <v>133000</v>
      </c>
      <c r="C3">
        <f>SUMIFS(Transactions!$E:$E,Transactions!$D:$D,"Payment",Transactions!$G:$G,$A3)</f>
        <v>48500</v>
      </c>
      <c r="D3">
        <f t="shared" ref="D3:D4" si="0">B3-C3</f>
        <v>84500</v>
      </c>
    </row>
    <row r="4" spans="1:4" x14ac:dyDescent="0.3">
      <c r="A4" t="s">
        <v>18</v>
      </c>
      <c r="B4">
        <f>SUMIFS(Transactions!$E:$E,Transactions!$D:$D,"Deposit",Transactions!$G:$G,$A4)</f>
        <v>112000</v>
      </c>
      <c r="C4">
        <f>SUMIFS(Transactions!$E:$E,Transactions!$D:$D,"Payment",Transactions!$G:$G,$A4)</f>
        <v>60000</v>
      </c>
      <c r="D4">
        <f t="shared" si="0"/>
        <v>52000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9DC-3195-4763-A058-D4D122AB29E7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>
        <f>SUM('Latest Balances'!C2:C4)</f>
        <v>280500</v>
      </c>
      <c r="B2">
        <f>AVERAGE('Monthly Summary'!C2:C4)</f>
        <v>55000</v>
      </c>
      <c r="C2">
        <f>A2/B2</f>
        <v>5.0999999999999996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Latest Balances</vt:lpstr>
      <vt:lpstr>Monthly Summary</vt:lpstr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vutomi faith khosa</cp:lastModifiedBy>
  <dcterms:created xsi:type="dcterms:W3CDTF">2026-10-08T16:25:33Z</dcterms:created>
  <dcterms:modified xsi:type="dcterms:W3CDTF">2026-10-08T16:36:13Z</dcterms:modified>
</cp:coreProperties>
</file>